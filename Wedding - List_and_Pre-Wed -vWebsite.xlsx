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26B1753-9991-499B-9A85-B20F7002A38D}" xr6:coauthVersionLast="47" xr6:coauthVersionMax="47" xr10:uidLastSave="{00000000-0000-0000-0000-000000000000}"/>
  <bookViews>
    <workbookView xWindow="-108" yWindow="-108" windowWidth="23256" windowHeight="12456" xr2:uid="{C0741E82-D4F1-43EC-BB15-3E8ADB0078B7}"/>
  </bookViews>
  <sheets>
    <sheet name="Corine" sheetId="1" r:id="rId1"/>
    <sheet name="Isaac" sheetId="8" r:id="rId2"/>
    <sheet name="Parents 1" sheetId="6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5" i="1" l="1"/>
  <c r="D61" i="8"/>
  <c r="D62" i="8"/>
  <c r="D56" i="8"/>
  <c r="D55" i="8"/>
  <c r="D54" i="8"/>
  <c r="D57" i="8" l="1"/>
  <c r="D83" i="1" s="1"/>
  <c r="D63" i="8"/>
  <c r="D94" i="1" l="1"/>
  <c r="D64" i="8"/>
  <c r="D92" i="1"/>
  <c r="D91" i="1"/>
  <c r="D80" i="1"/>
  <c r="D81" i="1" s="1"/>
  <c r="B74" i="6"/>
  <c r="D93" i="1" l="1"/>
  <c r="D84" i="1"/>
  <c r="D87" i="1" s="1"/>
  <c r="D96" i="1" l="1"/>
</calcChain>
</file>

<file path=xl/sharedStrings.xml><?xml version="1.0" encoding="utf-8"?>
<sst xmlns="http://schemas.openxmlformats.org/spreadsheetml/2006/main" count="405" uniqueCount="297">
  <si>
    <t>Rawad Abou Jaoude</t>
  </si>
  <si>
    <t>Nicolas Hassoun</t>
  </si>
  <si>
    <t>Hady Rahme</t>
  </si>
  <si>
    <t>Nour Rizk</t>
  </si>
  <si>
    <t>Maria Abou Farhat</t>
  </si>
  <si>
    <t>Lynn Lahoud</t>
  </si>
  <si>
    <t>Tala Mardelli</t>
  </si>
  <si>
    <t>Karina Abella</t>
  </si>
  <si>
    <t>Alya Gaspard</t>
  </si>
  <si>
    <t>Jane Zakhem</t>
  </si>
  <si>
    <t>Demy Abi Khalil</t>
  </si>
  <si>
    <t>Tania Bteich</t>
  </si>
  <si>
    <t>Nadine Araygi</t>
  </si>
  <si>
    <t>Tarek Abboud</t>
  </si>
  <si>
    <t>Mark Karam</t>
  </si>
  <si>
    <t>Nasri Chedid</t>
  </si>
  <si>
    <t xml:space="preserve">Fayez Nohra </t>
  </si>
  <si>
    <t>Marc Moukarzel</t>
  </si>
  <si>
    <t>Walid Rahme</t>
  </si>
  <si>
    <t>Joey Nseir</t>
  </si>
  <si>
    <t>Camil Abou Farhat</t>
  </si>
  <si>
    <t>Elio Abou Farhat</t>
  </si>
  <si>
    <t>Marc Zoghzoghi</t>
  </si>
  <si>
    <t>NAME</t>
  </si>
  <si>
    <t>Marc Nasr</t>
  </si>
  <si>
    <t>Anthony Salamoun</t>
  </si>
  <si>
    <t>Elie Chalhoub</t>
  </si>
  <si>
    <t>Jad Makhlouf</t>
  </si>
  <si>
    <t>Mia Boustany</t>
  </si>
  <si>
    <t>Yara Nahas</t>
  </si>
  <si>
    <t xml:space="preserve">Toufic Tager </t>
  </si>
  <si>
    <t>Ralph Gharios</t>
  </si>
  <si>
    <t>Ariane Gemayel</t>
  </si>
  <si>
    <t>Jen Nahas</t>
  </si>
  <si>
    <t>Celine Bteich</t>
  </si>
  <si>
    <t>Carl Daou</t>
  </si>
  <si>
    <t xml:space="preserve">Serge Sawma </t>
  </si>
  <si>
    <t>Daniele Anid</t>
  </si>
  <si>
    <t>Total</t>
  </si>
  <si>
    <t>Marc Akhras</t>
  </si>
  <si>
    <t>Philippe Zoghzoghi</t>
  </si>
  <si>
    <t>Ziad Chehab</t>
  </si>
  <si>
    <t>Joanna Ziade</t>
  </si>
  <si>
    <t>Cynthia Braidy</t>
  </si>
  <si>
    <t>Luana Fakhoury</t>
  </si>
  <si>
    <t>Yara Moujaes</t>
  </si>
  <si>
    <t>Joanna Debs</t>
  </si>
  <si>
    <t>Tatiana Abou Mrad</t>
  </si>
  <si>
    <t>Lama Soueidan</t>
  </si>
  <si>
    <t>Nicole Khoury</t>
  </si>
  <si>
    <t>Yasmina Saradar</t>
  </si>
  <si>
    <t>Andra Khouri</t>
  </si>
  <si>
    <t>Marijo Mathieu</t>
  </si>
  <si>
    <t>Sandrine Chedid</t>
  </si>
  <si>
    <t>Emma Hawa</t>
  </si>
  <si>
    <t>Mia Eid</t>
  </si>
  <si>
    <t>Diala Rizk</t>
  </si>
  <si>
    <t>Melissa Haddad</t>
  </si>
  <si>
    <t>Lana Zir</t>
  </si>
  <si>
    <t>Leya Hage</t>
  </si>
  <si>
    <t>Lea Acra</t>
  </si>
  <si>
    <t>Edmond Rizk</t>
  </si>
  <si>
    <t>Anthony Attieh</t>
  </si>
  <si>
    <t>Claude Zoghzoghi</t>
  </si>
  <si>
    <t>Anthony Michael</t>
  </si>
  <si>
    <t xml:space="preserve">Raya Khayat </t>
  </si>
  <si>
    <t>Eddy Nasr</t>
  </si>
  <si>
    <t>Julie Abou Moussa</t>
  </si>
  <si>
    <t>Sarah Abou Moussa</t>
  </si>
  <si>
    <t>Edwina Daher</t>
  </si>
  <si>
    <t>Gabriel Edde</t>
  </si>
  <si>
    <t>Lea Tager</t>
  </si>
  <si>
    <t>Sasha Khayat</t>
  </si>
  <si>
    <t>Karim Zeino</t>
  </si>
  <si>
    <t>Aude Corruzzi</t>
  </si>
  <si>
    <t>Charlotte Robson</t>
  </si>
  <si>
    <t>Jade Flaviano</t>
  </si>
  <si>
    <t>Issam Arris</t>
  </si>
  <si>
    <t>Alex Abou Jaoude</t>
  </si>
  <si>
    <t>Raphael Gilson</t>
  </si>
  <si>
    <t>Boutros Khoury</t>
  </si>
  <si>
    <t>Khalil Sarraf</t>
  </si>
  <si>
    <t>Rami Karaki</t>
  </si>
  <si>
    <t>Eli Hindi</t>
  </si>
  <si>
    <t>Alice Keyrouz</t>
  </si>
  <si>
    <t>Carl Abou Jaoude</t>
  </si>
  <si>
    <t>Jad Khalaf</t>
  </si>
  <si>
    <t>Tara Kanj</t>
  </si>
  <si>
    <t>Rita El Am</t>
  </si>
  <si>
    <t>Nicole Araygi</t>
  </si>
  <si>
    <t>Fouad Farhat</t>
  </si>
  <si>
    <t>Gio Fikani</t>
  </si>
  <si>
    <t>Ralph Dib</t>
  </si>
  <si>
    <t>Elie hamouche</t>
  </si>
  <si>
    <t>Carl assaf</t>
  </si>
  <si>
    <t>Karim Dahan</t>
  </si>
  <si>
    <t>Anthony jabbour</t>
  </si>
  <si>
    <t>Faisal Barakat</t>
  </si>
  <si>
    <t>Cyril Irani</t>
  </si>
  <si>
    <t>Nayla Nasr</t>
  </si>
  <si>
    <t>Pierre Mecattaf</t>
  </si>
  <si>
    <t>Claudia Nader</t>
  </si>
  <si>
    <t>Roger Chaccour</t>
  </si>
  <si>
    <t>George Kamar</t>
  </si>
  <si>
    <t>Yara Gemayel</t>
  </si>
  <si>
    <t xml:space="preserve">Iyad Achkar </t>
  </si>
  <si>
    <t>Cesar Bteish</t>
  </si>
  <si>
    <t xml:space="preserve">Philippe khoury </t>
  </si>
  <si>
    <t>Michel dibo</t>
  </si>
  <si>
    <t>Michel Jurdak</t>
  </si>
  <si>
    <t>Henri Saab</t>
  </si>
  <si>
    <t>+1s</t>
  </si>
  <si>
    <t>+ Siblings +1s</t>
  </si>
  <si>
    <t>Total (Corine)</t>
  </si>
  <si>
    <t>GRAND TOTAL</t>
  </si>
  <si>
    <t>Y</t>
  </si>
  <si>
    <t>Pre-Wedding</t>
  </si>
  <si>
    <t>Pre-Wed</t>
  </si>
  <si>
    <t>Anis Jebran</t>
  </si>
  <si>
    <t>George Jebran</t>
  </si>
  <si>
    <t>Tanya Jebran</t>
  </si>
  <si>
    <t>Joseph Kassab</t>
  </si>
  <si>
    <t>Paul Tabet</t>
  </si>
  <si>
    <t>Gilbert kids</t>
  </si>
  <si>
    <t>George kids</t>
  </si>
  <si>
    <t>Joyce kids</t>
  </si>
  <si>
    <t>Giselle kids</t>
  </si>
  <si>
    <t>Total (Isaac)</t>
  </si>
  <si>
    <t>TOTAL</t>
  </si>
  <si>
    <t>Grand Total</t>
  </si>
  <si>
    <t>Invited</t>
  </si>
  <si>
    <t>Wedding</t>
  </si>
  <si>
    <t>Parents + Famille</t>
  </si>
  <si>
    <t xml:space="preserve">Rony et Wadad Araygi </t>
  </si>
  <si>
    <t>Jean et Carla Zoghzoghi</t>
  </si>
  <si>
    <t xml:space="preserve">Tony et Randa Eid </t>
  </si>
  <si>
    <t>Samy et Emy Rizk</t>
  </si>
  <si>
    <t>Assad et Rana Maalouf</t>
  </si>
  <si>
    <t>Michel et Marielle Mouawad</t>
  </si>
  <si>
    <t>Georges et Mirla Tabet</t>
  </si>
  <si>
    <t>Gabriel et Paula Maalouly</t>
  </si>
  <si>
    <t xml:space="preserve">Nabil et Pascale Asmar </t>
  </si>
  <si>
    <t xml:space="preserve">Philippe et Joselyne Maalouf </t>
  </si>
  <si>
    <t xml:space="preserve">Chaaya et Rita Atallah </t>
  </si>
  <si>
    <t>Fady et Mireille Rouhana</t>
  </si>
  <si>
    <t>Maurice et Shermine Iskandar</t>
  </si>
  <si>
    <t>Walid et Sandra Abou Farhat</t>
  </si>
  <si>
    <t>Fares et Berthe Abboud</t>
  </si>
  <si>
    <t>Nadim et Maria Abou Dib</t>
  </si>
  <si>
    <t>Philippe et Josette Aramouni</t>
  </si>
  <si>
    <t>Philippe et Michelle Souaid</t>
  </si>
  <si>
    <t>Ramzi et Therese Klink</t>
  </si>
  <si>
    <t>Joe et Maya Hobeiche</t>
  </si>
  <si>
    <t>Ghassan et Denise Tambe</t>
  </si>
  <si>
    <t>Johnny et Tanya Keyrouz</t>
  </si>
  <si>
    <t>Charles et Anita Mansour</t>
  </si>
  <si>
    <t>Tony et Josette Gharios</t>
  </si>
  <si>
    <t>Ibrahim Abou Dib</t>
  </si>
  <si>
    <t>Pierre et Terry Nasr</t>
  </si>
  <si>
    <t>Tony et Dina Nasr</t>
  </si>
  <si>
    <t xml:space="preserve">Tony et Kinda Merhej </t>
  </si>
  <si>
    <t>Jacques et Bernadette Saadé</t>
  </si>
  <si>
    <t>Jean-Claude et Corine Abou Chedid</t>
  </si>
  <si>
    <t>Raymond et Claudine Daher</t>
  </si>
  <si>
    <t>Fouad et Joelle Zmokhol</t>
  </si>
  <si>
    <t xml:space="preserve">Georges et May Hadwan </t>
  </si>
  <si>
    <t>Tony et Katia Sayssa</t>
  </si>
  <si>
    <t>Johnny et Martine Sayssa</t>
  </si>
  <si>
    <t>Nadim et May Badawi</t>
  </si>
  <si>
    <t>Patricia El Am</t>
  </si>
  <si>
    <t>Naji et Nadine Achkar</t>
  </si>
  <si>
    <t>Micky et Monique Chebli</t>
  </si>
  <si>
    <t>Arz et Magda El Murr</t>
  </si>
  <si>
    <t>Ronald et Lina Moussa</t>
  </si>
  <si>
    <t>Marwan et Nayla Saadé</t>
  </si>
  <si>
    <t>Samir et Christiane Tamari</t>
  </si>
  <si>
    <t>Raghid et Nada Saba</t>
  </si>
  <si>
    <t>Rami et Nazek Mortada</t>
  </si>
  <si>
    <t>Joseph et Ghada Semaan</t>
  </si>
  <si>
    <t>Tony et Eliane Tamer</t>
  </si>
  <si>
    <t>Georges et Micheline Okais</t>
  </si>
  <si>
    <t xml:space="preserve">Elias et Nadia Stephan </t>
  </si>
  <si>
    <t>Michelle Saddi</t>
  </si>
  <si>
    <t>Jean et Micheline Chalouhi</t>
  </si>
  <si>
    <t>Père Charbel Batour</t>
  </si>
  <si>
    <t>Père Denie Meyer</t>
  </si>
  <si>
    <t>Ghassan et Amal Salem</t>
  </si>
  <si>
    <t>Joseph et Fifi Ayoub</t>
  </si>
  <si>
    <t xml:space="preserve">Walid Ghosn </t>
  </si>
  <si>
    <t>Gizele Hajjar</t>
  </si>
  <si>
    <t>Joseph Maalouf</t>
  </si>
  <si>
    <t>Abdo et Soha Skaf</t>
  </si>
  <si>
    <t>Bashir et Carole Farhat</t>
  </si>
  <si>
    <t>Jihad et Marie Achkar</t>
  </si>
  <si>
    <t>Ghassan et Kennie Chidiac</t>
  </si>
  <si>
    <t>Nabil et Dina Bazerji</t>
  </si>
  <si>
    <t xml:space="preserve">Nawal Ghosn </t>
  </si>
  <si>
    <t>Raymond et Ghada Sadaka</t>
  </si>
  <si>
    <t>Ghazi et Joumana Ghosn</t>
  </si>
  <si>
    <t>Ghosn Ghosn</t>
  </si>
  <si>
    <t>Joseph et Hanne Ghosn</t>
  </si>
  <si>
    <t>Moussa Freiha</t>
  </si>
  <si>
    <t>Dolly Debline</t>
  </si>
  <si>
    <t xml:space="preserve">Alfred et June Kettaneh </t>
  </si>
  <si>
    <t xml:space="preserve">Marc et Gabrielle Assouad </t>
  </si>
  <si>
    <t>+1s?</t>
  </si>
  <si>
    <t>Paul-Antoine Khoury</t>
  </si>
  <si>
    <t xml:space="preserve">Pierre Zoghzoghi </t>
  </si>
  <si>
    <t xml:space="preserve">Oliver Dabar </t>
  </si>
  <si>
    <t xml:space="preserve">Joe Sabbagh </t>
  </si>
  <si>
    <t xml:space="preserve">Bruno Bakhach </t>
  </si>
  <si>
    <t xml:space="preserve">Malek Murr </t>
  </si>
  <si>
    <t>Michel Bejjani</t>
  </si>
  <si>
    <t xml:space="preserve">Georges Keyrouz </t>
  </si>
  <si>
    <t xml:space="preserve">Omar Farhat </t>
  </si>
  <si>
    <t xml:space="preserve">Ralph Khayat </t>
  </si>
  <si>
    <t xml:space="preserve">Chris Salamoun </t>
  </si>
  <si>
    <t xml:space="preserve">Joseph Merhej </t>
  </si>
  <si>
    <t>Pierre-Christophe Antoun</t>
  </si>
  <si>
    <t xml:space="preserve">Michael Soumrani </t>
  </si>
  <si>
    <t>Jean Paul Chidiac</t>
  </si>
  <si>
    <t>Romain Ouaiss</t>
  </si>
  <si>
    <t>Shirine Yacoub</t>
  </si>
  <si>
    <t>Yasmine Kabbara</t>
  </si>
  <si>
    <t>Hugo Mendes</t>
  </si>
  <si>
    <t>Emanuel Malz</t>
  </si>
  <si>
    <t>Paul-Helie Magdelenat</t>
  </si>
  <si>
    <t>Jean Beaufigeau</t>
  </si>
  <si>
    <t>Gabriel Bazergi</t>
  </si>
  <si>
    <t xml:space="preserve">Malek Arif </t>
  </si>
  <si>
    <t>Michelle Sadaka</t>
  </si>
  <si>
    <t>Stephanie Sadaka</t>
  </si>
  <si>
    <t>Tarek Ghosn</t>
  </si>
  <si>
    <t>Elias Ghosn</t>
  </si>
  <si>
    <t>Elissa Ghosn</t>
  </si>
  <si>
    <t xml:space="preserve">Georges Ghosn </t>
  </si>
  <si>
    <t>Jack Ghosn</t>
  </si>
  <si>
    <t xml:space="preserve">Michael Ghosn </t>
  </si>
  <si>
    <t>Liste Corine</t>
  </si>
  <si>
    <t>Total (incl. +1s)</t>
  </si>
  <si>
    <t>Karim et Julie Saddi</t>
  </si>
  <si>
    <t>Thierry et Raya Edde</t>
  </si>
  <si>
    <t>Synda Machalani</t>
  </si>
  <si>
    <t xml:space="preserve">Della Mecattaf </t>
  </si>
  <si>
    <t>Karl Abou Zeid</t>
  </si>
  <si>
    <t>Lorenzo Boustany</t>
  </si>
  <si>
    <t>Jad Koundakjian</t>
  </si>
  <si>
    <t>Roland Gemayel</t>
  </si>
  <si>
    <t>Ryan Kanj</t>
  </si>
  <si>
    <t>Victor Fayad</t>
  </si>
  <si>
    <t>Mario Noune</t>
  </si>
  <si>
    <t>Cyril Keyrouz</t>
  </si>
  <si>
    <t>Karim Abou Dib</t>
  </si>
  <si>
    <t>Yasmina Sader</t>
  </si>
  <si>
    <t>Fleurene Daraze</t>
  </si>
  <si>
    <t>Carl Abi Rached</t>
  </si>
  <si>
    <t>Brandon Somerhalder</t>
  </si>
  <si>
    <t>Edouard Haber</t>
  </si>
  <si>
    <t>Mark Feghali</t>
  </si>
  <si>
    <t>Javier Pina</t>
  </si>
  <si>
    <t>Roy Boulos</t>
  </si>
  <si>
    <t>Rafael Otegui</t>
  </si>
  <si>
    <t>Sirine Rayess</t>
  </si>
  <si>
    <t>Pierre Chekrallah</t>
  </si>
  <si>
    <t>Zina Aczam</t>
  </si>
  <si>
    <t>Chris Twyman</t>
  </si>
  <si>
    <t>Madeleine Jenkins</t>
  </si>
  <si>
    <t>Warner Jenkins</t>
  </si>
  <si>
    <t>Daniel Dicienzo</t>
  </si>
  <si>
    <t>Elie Kareh</t>
  </si>
  <si>
    <t>Sanya Kaushish</t>
  </si>
  <si>
    <t>Bharat Kaushish</t>
  </si>
  <si>
    <t>Joseph Bejjani</t>
  </si>
  <si>
    <t>Francesca Messa</t>
  </si>
  <si>
    <t>Christopher Tamari</t>
  </si>
  <si>
    <t>Otto Hall</t>
  </si>
  <si>
    <t>Luigi Irani</t>
  </si>
  <si>
    <t>Nicolas Mendez</t>
  </si>
  <si>
    <t>Ramzi Chamcham</t>
  </si>
  <si>
    <t>Elie Abi Saad</t>
  </si>
  <si>
    <t>Remy Otayek</t>
  </si>
  <si>
    <t>Michelle Abi Saad</t>
  </si>
  <si>
    <t>Marianne Saghbini</t>
  </si>
  <si>
    <t>Victor Habis</t>
  </si>
  <si>
    <t>Georges Saghbini</t>
  </si>
  <si>
    <t>Antoine Hadad</t>
  </si>
  <si>
    <t>Raya Sfeir</t>
  </si>
  <si>
    <t>Jean-Pierre Sfeir</t>
  </si>
  <si>
    <t>Sandra Sfeir</t>
  </si>
  <si>
    <t>Gaelle Corm</t>
  </si>
  <si>
    <t>Georges Rafi</t>
  </si>
  <si>
    <t>Thea Corm</t>
  </si>
  <si>
    <t>Amanda Corm</t>
  </si>
  <si>
    <t>Christophe karam</t>
  </si>
  <si>
    <t>Joseph Doueihy</t>
  </si>
  <si>
    <t>Patrick Malek</t>
  </si>
  <si>
    <t>Cousins 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</si>
</sst>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5" xfId="0" quotePrefix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4" xfId="0" quotePrefix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3" fillId="0" borderId="5" xfId="0" quotePrefix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6" fillId="3" borderId="4" xfId="0" applyFont="1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7" fillId="5" borderId="7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indent="1"/>
    </xf>
    <xf numFmtId="0" fontId="1" fillId="0" borderId="2" xfId="0" quotePrefix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15BB-43BC-474A-B0E2-F711E0C16BE1}">
  <dimension ref="C1:N108"/>
  <sheetViews>
    <sheetView showGridLines="0" tabSelected="1" topLeftCell="A58" zoomScaleNormal="130" workbookViewId="0">
      <selection activeCell="E69" sqref="E69"/>
    </sheetView>
  </sheetViews>
  <sheetFormatPr defaultColWidth="9.109375" defaultRowHeight="14.4" x14ac:dyDescent="0.3"/>
  <cols>
    <col min="1" max="1" width="5.77734375" style="10" customWidth="1"/>
    <col min="2" max="2" width="4" style="10" customWidth="1"/>
    <col min="3" max="3" width="26.77734375" style="10" customWidth="1"/>
    <col min="4" max="4" width="14.77734375" style="11" customWidth="1"/>
    <col min="5" max="5" width="14.77734375" style="50" customWidth="1"/>
    <col min="6" max="6" width="8.6640625" style="10" customWidth="1"/>
    <col min="7" max="7" width="26.77734375" style="10" customWidth="1"/>
    <col min="8" max="8" width="14.77734375" style="11" customWidth="1"/>
    <col min="9" max="9" width="14.77734375" style="50" customWidth="1"/>
    <col min="10" max="10" width="8.6640625" style="10" customWidth="1"/>
    <col min="14" max="14" width="8.6640625" style="10" customWidth="1"/>
    <col min="15" max="15" width="6" style="10" customWidth="1"/>
    <col min="16" max="16" width="27.6640625" style="10" customWidth="1"/>
    <col min="17" max="17" width="14.6640625" style="10" customWidth="1"/>
    <col min="18" max="16384" width="9.109375" style="10"/>
  </cols>
  <sheetData>
    <row r="1" spans="3:9" ht="12" customHeight="1" x14ac:dyDescent="0.3"/>
    <row r="2" spans="3:9" ht="13.95" customHeight="1" x14ac:dyDescent="0.3"/>
    <row r="3" spans="3:9" s="12" customFormat="1" x14ac:dyDescent="0.3">
      <c r="C3" s="38" t="s">
        <v>23</v>
      </c>
      <c r="D3" s="39" t="s">
        <v>205</v>
      </c>
      <c r="E3" s="51" t="s">
        <v>116</v>
      </c>
      <c r="G3" s="38" t="s">
        <v>23</v>
      </c>
      <c r="H3" s="39" t="s">
        <v>205</v>
      </c>
      <c r="I3" s="51" t="s">
        <v>116</v>
      </c>
    </row>
    <row r="4" spans="3:9" x14ac:dyDescent="0.3">
      <c r="C4" s="13"/>
      <c r="D4" s="14"/>
      <c r="G4" s="13"/>
      <c r="H4" s="14"/>
    </row>
    <row r="5" spans="3:9" x14ac:dyDescent="0.3">
      <c r="C5" s="10" t="s">
        <v>207</v>
      </c>
      <c r="D5" s="11">
        <v>1</v>
      </c>
      <c r="E5" s="50" t="s">
        <v>115</v>
      </c>
      <c r="G5" s="15" t="s">
        <v>6</v>
      </c>
      <c r="I5" s="54" t="s">
        <v>115</v>
      </c>
    </row>
    <row r="6" spans="3:9" x14ac:dyDescent="0.3">
      <c r="C6" s="10" t="s">
        <v>30</v>
      </c>
      <c r="E6" s="50" t="s">
        <v>115</v>
      </c>
      <c r="G6" s="15" t="s">
        <v>7</v>
      </c>
      <c r="I6" s="54" t="s">
        <v>115</v>
      </c>
    </row>
    <row r="7" spans="3:9" x14ac:dyDescent="0.3">
      <c r="C7" s="10" t="s">
        <v>208</v>
      </c>
      <c r="D7" s="11">
        <v>1</v>
      </c>
      <c r="E7" s="50" t="s">
        <v>115</v>
      </c>
      <c r="G7" s="15" t="s">
        <v>33</v>
      </c>
      <c r="H7" s="11">
        <v>1</v>
      </c>
      <c r="I7" s="54" t="s">
        <v>115</v>
      </c>
    </row>
    <row r="8" spans="3:9" x14ac:dyDescent="0.3">
      <c r="C8" s="10" t="s">
        <v>206</v>
      </c>
      <c r="G8" s="15" t="s">
        <v>29</v>
      </c>
      <c r="I8" s="54" t="s">
        <v>115</v>
      </c>
    </row>
    <row r="9" spans="3:9" x14ac:dyDescent="0.3">
      <c r="C9" s="10" t="s">
        <v>209</v>
      </c>
      <c r="D9" s="11">
        <v>1</v>
      </c>
      <c r="E9" s="50" t="s">
        <v>115</v>
      </c>
      <c r="G9" s="15" t="s">
        <v>50</v>
      </c>
      <c r="I9" s="54" t="s">
        <v>115</v>
      </c>
    </row>
    <row r="10" spans="3:9" x14ac:dyDescent="0.3">
      <c r="C10" s="10" t="s">
        <v>210</v>
      </c>
      <c r="E10" s="50" t="s">
        <v>115</v>
      </c>
      <c r="G10" s="15" t="s">
        <v>51</v>
      </c>
      <c r="I10" s="54"/>
    </row>
    <row r="11" spans="3:9" x14ac:dyDescent="0.3">
      <c r="C11" s="10" t="s">
        <v>211</v>
      </c>
      <c r="D11" s="11">
        <v>1</v>
      </c>
      <c r="G11" s="15" t="s">
        <v>52</v>
      </c>
    </row>
    <row r="12" spans="3:9" x14ac:dyDescent="0.3">
      <c r="C12" s="10" t="s">
        <v>39</v>
      </c>
      <c r="G12" s="15" t="s">
        <v>53</v>
      </c>
      <c r="I12" s="54"/>
    </row>
    <row r="13" spans="3:9" x14ac:dyDescent="0.3">
      <c r="C13" s="10" t="s">
        <v>40</v>
      </c>
      <c r="G13" s="15" t="s">
        <v>37</v>
      </c>
      <c r="H13" s="11">
        <v>1</v>
      </c>
      <c r="I13" s="54"/>
    </row>
    <row r="14" spans="3:9" x14ac:dyDescent="0.3">
      <c r="C14" s="10" t="s">
        <v>31</v>
      </c>
      <c r="G14" s="15" t="s">
        <v>54</v>
      </c>
      <c r="I14" s="54"/>
    </row>
    <row r="15" spans="3:9" x14ac:dyDescent="0.3">
      <c r="C15" s="10" t="s">
        <v>1</v>
      </c>
      <c r="E15" s="50" t="s">
        <v>115</v>
      </c>
      <c r="I15" s="54"/>
    </row>
    <row r="16" spans="3:9" x14ac:dyDescent="0.3">
      <c r="C16" s="10" t="s">
        <v>213</v>
      </c>
      <c r="D16" s="11">
        <v>1</v>
      </c>
      <c r="E16" s="50" t="s">
        <v>115</v>
      </c>
      <c r="G16" s="15" t="s">
        <v>8</v>
      </c>
      <c r="I16" s="54" t="s">
        <v>115</v>
      </c>
    </row>
    <row r="17" spans="3:9" x14ac:dyDescent="0.3">
      <c r="C17" s="10" t="s">
        <v>214</v>
      </c>
      <c r="D17" s="11">
        <v>1</v>
      </c>
      <c r="E17" s="50" t="s">
        <v>115</v>
      </c>
      <c r="G17" s="15" t="s">
        <v>9</v>
      </c>
      <c r="H17" s="11">
        <v>1</v>
      </c>
      <c r="I17" s="54" t="s">
        <v>115</v>
      </c>
    </row>
    <row r="18" spans="3:9" x14ac:dyDescent="0.3">
      <c r="C18" s="10" t="s">
        <v>215</v>
      </c>
      <c r="E18" s="50" t="s">
        <v>115</v>
      </c>
      <c r="G18" s="15" t="s">
        <v>243</v>
      </c>
      <c r="H18" s="11">
        <v>1</v>
      </c>
      <c r="I18" s="54" t="s">
        <v>115</v>
      </c>
    </row>
    <row r="19" spans="3:9" x14ac:dyDescent="0.3">
      <c r="C19" s="10" t="s">
        <v>212</v>
      </c>
      <c r="G19" s="10" t="s">
        <v>10</v>
      </c>
      <c r="I19" s="54" t="s">
        <v>115</v>
      </c>
    </row>
    <row r="20" spans="3:9" x14ac:dyDescent="0.3">
      <c r="C20" s="10" t="s">
        <v>216</v>
      </c>
      <c r="D20" s="11">
        <v>1</v>
      </c>
      <c r="G20" s="10" t="s">
        <v>11</v>
      </c>
      <c r="I20" s="54"/>
    </row>
    <row r="21" spans="3:9" x14ac:dyDescent="0.3">
      <c r="C21" s="10" t="s">
        <v>41</v>
      </c>
      <c r="G21" s="15" t="s">
        <v>55</v>
      </c>
      <c r="H21" s="11">
        <v>1</v>
      </c>
      <c r="I21" s="54"/>
    </row>
    <row r="22" spans="3:9" x14ac:dyDescent="0.3">
      <c r="C22" s="10" t="s">
        <v>217</v>
      </c>
      <c r="D22" s="11">
        <v>1</v>
      </c>
      <c r="E22" s="50" t="s">
        <v>115</v>
      </c>
      <c r="G22" s="15" t="s">
        <v>56</v>
      </c>
      <c r="H22" s="11">
        <v>1</v>
      </c>
      <c r="I22" s="54"/>
    </row>
    <row r="23" spans="3:9" x14ac:dyDescent="0.3">
      <c r="C23" s="10" t="s">
        <v>102</v>
      </c>
      <c r="G23" s="10" t="s">
        <v>12</v>
      </c>
      <c r="H23" s="11">
        <v>1</v>
      </c>
      <c r="I23" s="54" t="s">
        <v>115</v>
      </c>
    </row>
    <row r="24" spans="3:9" x14ac:dyDescent="0.3">
      <c r="C24" s="10" t="s">
        <v>105</v>
      </c>
      <c r="D24" s="11">
        <v>1</v>
      </c>
      <c r="G24" s="10" t="s">
        <v>34</v>
      </c>
      <c r="H24" s="11">
        <v>1</v>
      </c>
      <c r="I24" s="54" t="s">
        <v>115</v>
      </c>
    </row>
    <row r="25" spans="3:9" x14ac:dyDescent="0.3">
      <c r="C25" s="10" t="s">
        <v>218</v>
      </c>
      <c r="E25" s="52"/>
      <c r="G25" s="15" t="s">
        <v>57</v>
      </c>
      <c r="H25" s="11">
        <v>1</v>
      </c>
      <c r="I25" s="54"/>
    </row>
    <row r="26" spans="3:9" x14ac:dyDescent="0.3">
      <c r="C26" s="10" t="s">
        <v>219</v>
      </c>
      <c r="D26" s="11">
        <v>1</v>
      </c>
      <c r="E26" s="52"/>
      <c r="G26" s="15" t="s">
        <v>58</v>
      </c>
      <c r="I26" s="54"/>
    </row>
    <row r="27" spans="3:9" x14ac:dyDescent="0.3">
      <c r="C27" s="10" t="s">
        <v>25</v>
      </c>
      <c r="G27" s="15" t="s">
        <v>59</v>
      </c>
      <c r="H27" s="11">
        <v>1</v>
      </c>
      <c r="I27" s="54"/>
    </row>
    <row r="28" spans="3:9" x14ac:dyDescent="0.3">
      <c r="C28" s="10" t="s">
        <v>24</v>
      </c>
      <c r="D28" s="11">
        <v>1</v>
      </c>
      <c r="E28" s="50" t="s">
        <v>115</v>
      </c>
      <c r="G28" s="15" t="s">
        <v>60</v>
      </c>
      <c r="H28" s="11">
        <v>1</v>
      </c>
      <c r="I28" s="54"/>
    </row>
    <row r="29" spans="3:9" x14ac:dyDescent="0.3">
      <c r="C29" s="10" t="s">
        <v>220</v>
      </c>
      <c r="D29" s="11">
        <v>1</v>
      </c>
      <c r="E29" s="50" t="s">
        <v>115</v>
      </c>
      <c r="G29" s="15" t="s">
        <v>65</v>
      </c>
      <c r="H29" s="11">
        <v>1</v>
      </c>
      <c r="I29" s="54"/>
    </row>
    <row r="30" spans="3:9" x14ac:dyDescent="0.3">
      <c r="C30" s="10" t="s">
        <v>35</v>
      </c>
      <c r="D30" s="11">
        <v>1</v>
      </c>
      <c r="E30" s="50" t="s">
        <v>115</v>
      </c>
      <c r="G30" s="15" t="s">
        <v>99</v>
      </c>
      <c r="I30" s="54"/>
    </row>
    <row r="31" spans="3:9" x14ac:dyDescent="0.3">
      <c r="C31" s="10" t="s">
        <v>13</v>
      </c>
      <c r="E31" s="50" t="s">
        <v>115</v>
      </c>
      <c r="G31" s="15" t="s">
        <v>67</v>
      </c>
      <c r="I31" s="54"/>
    </row>
    <row r="32" spans="3:9" x14ac:dyDescent="0.3">
      <c r="C32" s="10" t="s">
        <v>61</v>
      </c>
      <c r="D32" s="11">
        <v>1</v>
      </c>
      <c r="G32" s="15" t="s">
        <v>68</v>
      </c>
      <c r="I32" s="54"/>
    </row>
    <row r="33" spans="3:9" x14ac:dyDescent="0.3">
      <c r="C33" s="10" t="s">
        <v>62</v>
      </c>
      <c r="G33" s="15" t="s">
        <v>69</v>
      </c>
    </row>
    <row r="34" spans="3:9" x14ac:dyDescent="0.3">
      <c r="C34" s="10" t="s">
        <v>63</v>
      </c>
      <c r="D34" s="11">
        <v>1</v>
      </c>
      <c r="E34" s="50" t="s">
        <v>115</v>
      </c>
      <c r="G34" s="15" t="s">
        <v>88</v>
      </c>
      <c r="H34" s="11">
        <v>1</v>
      </c>
      <c r="I34" s="54"/>
    </row>
    <row r="35" spans="3:9" x14ac:dyDescent="0.3">
      <c r="C35" s="15" t="s">
        <v>64</v>
      </c>
      <c r="G35" s="15" t="s">
        <v>89</v>
      </c>
      <c r="H35" s="11">
        <v>1</v>
      </c>
      <c r="I35" s="54"/>
    </row>
    <row r="36" spans="3:9" x14ac:dyDescent="0.3">
      <c r="C36" s="10" t="s">
        <v>98</v>
      </c>
      <c r="G36" s="15" t="s">
        <v>71</v>
      </c>
      <c r="I36" s="54"/>
    </row>
    <row r="37" spans="3:9" x14ac:dyDescent="0.3">
      <c r="C37" s="10" t="s">
        <v>91</v>
      </c>
      <c r="G37" s="15"/>
      <c r="I37" s="54"/>
    </row>
    <row r="38" spans="3:9" x14ac:dyDescent="0.3">
      <c r="C38" s="10" t="s">
        <v>90</v>
      </c>
      <c r="D38" s="11">
        <v>1</v>
      </c>
      <c r="G38" s="15" t="s">
        <v>72</v>
      </c>
      <c r="I38" s="54"/>
    </row>
    <row r="39" spans="3:9" x14ac:dyDescent="0.3">
      <c r="C39" s="10" t="s">
        <v>66</v>
      </c>
      <c r="D39" s="11">
        <v>1</v>
      </c>
      <c r="E39" s="53"/>
      <c r="G39" s="15" t="s">
        <v>73</v>
      </c>
      <c r="I39" s="54"/>
    </row>
    <row r="40" spans="3:9" x14ac:dyDescent="0.3">
      <c r="C40" s="10" t="s">
        <v>70</v>
      </c>
      <c r="E40" s="53"/>
      <c r="G40" s="15" t="s">
        <v>74</v>
      </c>
      <c r="H40" s="11">
        <v>1</v>
      </c>
      <c r="I40" s="54" t="s">
        <v>115</v>
      </c>
    </row>
    <row r="41" spans="3:9" x14ac:dyDescent="0.3">
      <c r="C41" s="10" t="s">
        <v>221</v>
      </c>
      <c r="E41" s="53"/>
      <c r="G41" s="15" t="s">
        <v>75</v>
      </c>
      <c r="I41" s="54" t="s">
        <v>115</v>
      </c>
    </row>
    <row r="42" spans="3:9" x14ac:dyDescent="0.3">
      <c r="C42" s="10" t="s">
        <v>20</v>
      </c>
      <c r="E42" s="54"/>
      <c r="G42" s="15" t="s">
        <v>76</v>
      </c>
      <c r="H42" s="11">
        <v>1</v>
      </c>
      <c r="I42" s="54" t="s">
        <v>115</v>
      </c>
    </row>
    <row r="43" spans="3:9" x14ac:dyDescent="0.3">
      <c r="C43" s="10" t="s">
        <v>21</v>
      </c>
      <c r="E43" s="54"/>
      <c r="G43" s="15" t="s">
        <v>224</v>
      </c>
      <c r="I43" s="54" t="s">
        <v>115</v>
      </c>
    </row>
    <row r="44" spans="3:9" x14ac:dyDescent="0.3">
      <c r="C44" s="10" t="s">
        <v>22</v>
      </c>
      <c r="G44" s="15" t="s">
        <v>227</v>
      </c>
      <c r="H44" s="11">
        <v>1</v>
      </c>
      <c r="I44" s="54" t="s">
        <v>115</v>
      </c>
    </row>
    <row r="45" spans="3:9" x14ac:dyDescent="0.3">
      <c r="C45" s="10" t="s">
        <v>110</v>
      </c>
      <c r="D45" s="11">
        <v>1</v>
      </c>
      <c r="G45" s="15" t="s">
        <v>225</v>
      </c>
      <c r="I45" s="54" t="s">
        <v>115</v>
      </c>
    </row>
    <row r="46" spans="3:9" x14ac:dyDescent="0.3">
      <c r="E46" s="53"/>
      <c r="G46" s="15" t="s">
        <v>226</v>
      </c>
      <c r="I46" s="54" t="s">
        <v>115</v>
      </c>
    </row>
    <row r="47" spans="3:9" x14ac:dyDescent="0.3">
      <c r="C47" s="15" t="s">
        <v>3</v>
      </c>
      <c r="E47" s="54" t="s">
        <v>115</v>
      </c>
      <c r="G47" s="15" t="s">
        <v>77</v>
      </c>
      <c r="I47" s="54"/>
    </row>
    <row r="48" spans="3:9" x14ac:dyDescent="0.3">
      <c r="C48" s="10" t="s">
        <v>4</v>
      </c>
      <c r="E48" s="54"/>
      <c r="G48" s="18" t="s">
        <v>85</v>
      </c>
      <c r="H48" s="11">
        <v>1</v>
      </c>
      <c r="I48" s="54"/>
    </row>
    <row r="49" spans="3:9" x14ac:dyDescent="0.3">
      <c r="C49" s="15" t="s">
        <v>42</v>
      </c>
      <c r="D49" s="11">
        <v>1</v>
      </c>
      <c r="E49" s="54"/>
    </row>
    <row r="50" spans="3:9" x14ac:dyDescent="0.3">
      <c r="C50" s="15" t="s">
        <v>43</v>
      </c>
      <c r="E50" s="54"/>
      <c r="G50" s="10" t="s">
        <v>228</v>
      </c>
      <c r="I50" s="54" t="s">
        <v>115</v>
      </c>
    </row>
    <row r="51" spans="3:9" x14ac:dyDescent="0.3">
      <c r="C51" s="15" t="s">
        <v>44</v>
      </c>
      <c r="E51" s="54"/>
      <c r="G51" s="15" t="s">
        <v>229</v>
      </c>
      <c r="I51" s="54"/>
    </row>
    <row r="52" spans="3:9" x14ac:dyDescent="0.3">
      <c r="C52" s="15" t="s">
        <v>47</v>
      </c>
      <c r="E52" s="54"/>
      <c r="G52" s="15" t="s">
        <v>100</v>
      </c>
      <c r="I52" s="54"/>
    </row>
    <row r="53" spans="3:9" x14ac:dyDescent="0.3">
      <c r="C53" s="15"/>
      <c r="E53" s="54"/>
      <c r="G53" s="15" t="s">
        <v>78</v>
      </c>
      <c r="I53" s="54"/>
    </row>
    <row r="54" spans="3:9" x14ac:dyDescent="0.3">
      <c r="C54" s="15" t="s">
        <v>45</v>
      </c>
      <c r="E54" s="54"/>
      <c r="G54" s="15" t="s">
        <v>79</v>
      </c>
      <c r="I54" s="54"/>
    </row>
    <row r="55" spans="3:9" x14ac:dyDescent="0.3">
      <c r="C55" s="15" t="s">
        <v>46</v>
      </c>
      <c r="E55" s="54"/>
      <c r="G55" s="15" t="s">
        <v>80</v>
      </c>
      <c r="I55" s="54"/>
    </row>
    <row r="56" spans="3:9" x14ac:dyDescent="0.3">
      <c r="C56" s="15" t="s">
        <v>48</v>
      </c>
      <c r="E56" s="54"/>
      <c r="G56" s="15" t="s">
        <v>81</v>
      </c>
      <c r="I56" s="54"/>
    </row>
    <row r="57" spans="3:9" x14ac:dyDescent="0.3">
      <c r="C57" s="15" t="s">
        <v>49</v>
      </c>
      <c r="D57" s="11">
        <v>1</v>
      </c>
      <c r="E57" s="54" t="s">
        <v>115</v>
      </c>
      <c r="G57" s="15" t="s">
        <v>82</v>
      </c>
      <c r="I57" s="54"/>
    </row>
    <row r="58" spans="3:9" x14ac:dyDescent="0.3">
      <c r="C58" s="10" t="s">
        <v>5</v>
      </c>
      <c r="E58" s="54" t="s">
        <v>115</v>
      </c>
      <c r="G58" s="15" t="s">
        <v>83</v>
      </c>
      <c r="H58" s="11">
        <v>1</v>
      </c>
      <c r="I58" s="54"/>
    </row>
    <row r="59" spans="3:9" x14ac:dyDescent="0.3">
      <c r="C59" s="10" t="s">
        <v>28</v>
      </c>
      <c r="D59" s="11">
        <v>1</v>
      </c>
      <c r="E59" s="54" t="s">
        <v>115</v>
      </c>
      <c r="G59" s="15" t="s">
        <v>106</v>
      </c>
    </row>
    <row r="60" spans="3:9" x14ac:dyDescent="0.3">
      <c r="C60" s="15" t="s">
        <v>32</v>
      </c>
      <c r="D60" s="11">
        <v>1</v>
      </c>
      <c r="E60" s="54" t="s">
        <v>115</v>
      </c>
    </row>
    <row r="61" spans="3:9" x14ac:dyDescent="0.3">
      <c r="C61" s="15" t="s">
        <v>101</v>
      </c>
      <c r="E61" s="54"/>
      <c r="G61" s="10" t="s">
        <v>240</v>
      </c>
      <c r="H61" s="11">
        <v>1</v>
      </c>
    </row>
    <row r="62" spans="3:9" x14ac:dyDescent="0.3">
      <c r="C62" s="15" t="s">
        <v>104</v>
      </c>
      <c r="E62" s="54" t="s">
        <v>115</v>
      </c>
      <c r="G62" s="15" t="s">
        <v>241</v>
      </c>
      <c r="H62" s="11">
        <v>1</v>
      </c>
      <c r="I62" s="54"/>
    </row>
    <row r="63" spans="3:9" x14ac:dyDescent="0.3">
      <c r="C63" s="15" t="s">
        <v>222</v>
      </c>
      <c r="E63" s="54"/>
      <c r="G63" s="15" t="s">
        <v>84</v>
      </c>
    </row>
    <row r="64" spans="3:9" x14ac:dyDescent="0.3">
      <c r="C64" s="15" t="s">
        <v>223</v>
      </c>
      <c r="E64" s="54"/>
    </row>
    <row r="66" spans="3:14" x14ac:dyDescent="0.3">
      <c r="C66" s="15" t="s">
        <v>230</v>
      </c>
      <c r="E66" s="50" t="s">
        <v>115</v>
      </c>
    </row>
    <row r="67" spans="3:14" x14ac:dyDescent="0.3">
      <c r="C67" s="15" t="s">
        <v>231</v>
      </c>
      <c r="D67" s="11">
        <v>1</v>
      </c>
      <c r="E67" s="50" t="s">
        <v>115</v>
      </c>
    </row>
    <row r="68" spans="3:14" x14ac:dyDescent="0.3">
      <c r="C68" s="10" t="s">
        <v>232</v>
      </c>
      <c r="D68" s="11">
        <v>1</v>
      </c>
      <c r="E68" s="50" t="s">
        <v>115</v>
      </c>
    </row>
    <row r="69" spans="3:14" x14ac:dyDescent="0.3">
      <c r="C69" s="15" t="s">
        <v>242</v>
      </c>
      <c r="D69" s="11">
        <v>1</v>
      </c>
    </row>
    <row r="70" spans="3:14" x14ac:dyDescent="0.3">
      <c r="C70" s="15" t="s">
        <v>92</v>
      </c>
      <c r="D70" s="16"/>
    </row>
    <row r="71" spans="3:14" x14ac:dyDescent="0.3">
      <c r="C71" s="10" t="s">
        <v>233</v>
      </c>
      <c r="E71" s="50" t="s">
        <v>115</v>
      </c>
    </row>
    <row r="72" spans="3:14" x14ac:dyDescent="0.3">
      <c r="C72" s="10" t="s">
        <v>234</v>
      </c>
      <c r="E72" s="50" t="s">
        <v>115</v>
      </c>
    </row>
    <row r="73" spans="3:14" x14ac:dyDescent="0.3">
      <c r="C73" s="10" t="s">
        <v>235</v>
      </c>
      <c r="E73" s="50" t="s">
        <v>115</v>
      </c>
    </row>
    <row r="74" spans="3:14" x14ac:dyDescent="0.3">
      <c r="C74" s="10" t="s">
        <v>236</v>
      </c>
      <c r="D74" s="11">
        <v>1</v>
      </c>
    </row>
    <row r="75" spans="3:14" x14ac:dyDescent="0.3">
      <c r="C75" s="10" t="s">
        <v>237</v>
      </c>
      <c r="D75" s="11">
        <v>1</v>
      </c>
    </row>
    <row r="79" spans="3:14" ht="15.6" x14ac:dyDescent="0.3">
      <c r="C79" s="33" t="s">
        <v>131</v>
      </c>
      <c r="D79" s="19" t="s">
        <v>38</v>
      </c>
      <c r="N79" s="17"/>
    </row>
    <row r="80" spans="3:14" x14ac:dyDescent="0.3">
      <c r="C80" s="21" t="s">
        <v>238</v>
      </c>
      <c r="D80" s="40">
        <f>COUNTA(C5:C75,G5:G63)</f>
        <v>123</v>
      </c>
      <c r="N80" s="17"/>
    </row>
    <row r="81" spans="3:14" x14ac:dyDescent="0.3">
      <c r="C81" s="22" t="s">
        <v>239</v>
      </c>
      <c r="D81" s="40">
        <f>D80+SUM(D5:D75,H5:H63)</f>
        <v>171</v>
      </c>
      <c r="I81" s="54"/>
      <c r="N81" s="17"/>
    </row>
    <row r="82" spans="3:14" x14ac:dyDescent="0.3">
      <c r="C82" s="21"/>
      <c r="D82" s="40"/>
      <c r="E82" s="53"/>
      <c r="K82" s="10"/>
      <c r="L82" s="10"/>
      <c r="M82" s="10"/>
    </row>
    <row r="83" spans="3:14" x14ac:dyDescent="0.3">
      <c r="C83" s="23" t="s">
        <v>127</v>
      </c>
      <c r="D83" s="40">
        <f>Isaac!D57</f>
        <v>108</v>
      </c>
      <c r="F83" s="12"/>
      <c r="I83" s="54"/>
    </row>
    <row r="84" spans="3:14" x14ac:dyDescent="0.3">
      <c r="C84" s="24" t="s">
        <v>114</v>
      </c>
      <c r="D84" s="41">
        <f>D81+D83</f>
        <v>279</v>
      </c>
      <c r="G84" s="15"/>
      <c r="I84" s="54"/>
    </row>
    <row r="85" spans="3:14" x14ac:dyDescent="0.3">
      <c r="G85" s="15"/>
      <c r="I85" s="54"/>
    </row>
    <row r="86" spans="3:14" x14ac:dyDescent="0.3">
      <c r="C86" s="25" t="s">
        <v>112</v>
      </c>
      <c r="D86" s="42">
        <v>30</v>
      </c>
      <c r="G86" s="15"/>
      <c r="I86" s="54"/>
    </row>
    <row r="87" spans="3:14" x14ac:dyDescent="0.3">
      <c r="C87" s="26" t="s">
        <v>114</v>
      </c>
      <c r="D87" s="43">
        <f>D84+D86</f>
        <v>309</v>
      </c>
      <c r="G87" s="15"/>
      <c r="I87" s="54"/>
    </row>
    <row r="88" spans="3:14" x14ac:dyDescent="0.3">
      <c r="D88" s="46"/>
      <c r="G88" s="15"/>
      <c r="I88" s="54"/>
    </row>
    <row r="89" spans="3:14" x14ac:dyDescent="0.3">
      <c r="G89" s="15"/>
      <c r="I89" s="54"/>
    </row>
    <row r="90" spans="3:14" x14ac:dyDescent="0.3">
      <c r="C90" s="34" t="s">
        <v>116</v>
      </c>
      <c r="D90" s="44"/>
      <c r="G90" s="15"/>
      <c r="I90" s="54"/>
    </row>
    <row r="91" spans="3:14" x14ac:dyDescent="0.3">
      <c r="C91" s="20" t="s">
        <v>130</v>
      </c>
      <c r="D91" s="40">
        <f>COUNTA(E5:E75,I5:I63)</f>
        <v>46</v>
      </c>
      <c r="G91" s="15"/>
      <c r="I91" s="54"/>
    </row>
    <row r="92" spans="3:14" x14ac:dyDescent="0.3">
      <c r="C92" s="22" t="s">
        <v>111</v>
      </c>
      <c r="D92" s="45">
        <f>SUM(SUMIF(E5:E77,"Y",D5:D77),SUMIF(I5:I64,"Y",H5:H64))</f>
        <v>23</v>
      </c>
      <c r="I92" s="55"/>
    </row>
    <row r="93" spans="3:14" x14ac:dyDescent="0.3">
      <c r="C93" s="21" t="s">
        <v>113</v>
      </c>
      <c r="D93" s="40">
        <f>D91+D92</f>
        <v>69</v>
      </c>
    </row>
    <row r="94" spans="3:14" x14ac:dyDescent="0.3">
      <c r="C94" s="21" t="s">
        <v>127</v>
      </c>
      <c r="D94" s="40">
        <f>Isaac!D63</f>
        <v>55</v>
      </c>
    </row>
    <row r="95" spans="3:14" x14ac:dyDescent="0.3">
      <c r="C95" s="21" t="s">
        <v>132</v>
      </c>
      <c r="D95" s="40">
        <f>13+8</f>
        <v>21</v>
      </c>
    </row>
    <row r="96" spans="3:14" x14ac:dyDescent="0.3">
      <c r="C96" s="24" t="s">
        <v>129</v>
      </c>
      <c r="D96" s="41">
        <f>D93+D94+D95</f>
        <v>145</v>
      </c>
    </row>
    <row r="99" spans="14:14" x14ac:dyDescent="0.3">
      <c r="N99" s="17"/>
    </row>
    <row r="100" spans="14:14" x14ac:dyDescent="0.3">
      <c r="N100" s="17"/>
    </row>
    <row r="101" spans="14:14" x14ac:dyDescent="0.3">
      <c r="N101" s="17"/>
    </row>
    <row r="102" spans="14:14" x14ac:dyDescent="0.3">
      <c r="N102" s="11"/>
    </row>
    <row r="103" spans="14:14" x14ac:dyDescent="0.3">
      <c r="N103" s="17"/>
    </row>
    <row r="104" spans="14:14" x14ac:dyDescent="0.3">
      <c r="N104" s="17"/>
    </row>
    <row r="105" spans="14:14" x14ac:dyDescent="0.3">
      <c r="N105" s="17"/>
    </row>
    <row r="106" spans="14:14" x14ac:dyDescent="0.3">
      <c r="N106" s="17"/>
    </row>
    <row r="107" spans="14:14" x14ac:dyDescent="0.3">
      <c r="N107" s="17"/>
    </row>
    <row r="108" spans="14:14" x14ac:dyDescent="0.3">
      <c r="N108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4919-6B06-4B17-900E-71A90F9ED1D7}">
  <dimension ref="A1:K64"/>
  <sheetViews>
    <sheetView showGridLines="0" zoomScaleNormal="100" workbookViewId="0">
      <selection activeCell="G12" sqref="G12"/>
    </sheetView>
  </sheetViews>
  <sheetFormatPr defaultRowHeight="14.4" x14ac:dyDescent="0.3"/>
  <cols>
    <col min="1" max="1" width="5.77734375" style="10" customWidth="1"/>
    <col min="2" max="2" width="4" style="10" customWidth="1"/>
    <col min="3" max="3" width="27.77734375" style="7" customWidth="1"/>
    <col min="4" max="4" width="14.77734375" style="1" customWidth="1"/>
    <col min="5" max="5" width="14.77734375" style="4" customWidth="1"/>
    <col min="7" max="7" width="27.77734375" style="7" customWidth="1"/>
    <col min="8" max="8" width="14.77734375" style="1" customWidth="1"/>
    <col min="9" max="9" width="14.77734375" style="4" customWidth="1"/>
  </cols>
  <sheetData>
    <row r="1" spans="1:9" x14ac:dyDescent="0.3">
      <c r="C1" s="5"/>
      <c r="E1" s="1"/>
      <c r="G1" s="5"/>
      <c r="I1" s="1"/>
    </row>
    <row r="2" spans="1:9" x14ac:dyDescent="0.3">
      <c r="C2" s="47" t="s">
        <v>23</v>
      </c>
      <c r="D2" s="39" t="s">
        <v>111</v>
      </c>
      <c r="E2" s="3" t="s">
        <v>117</v>
      </c>
      <c r="G2" s="47" t="s">
        <v>23</v>
      </c>
      <c r="H2" s="39" t="s">
        <v>205</v>
      </c>
      <c r="I2" s="3" t="s">
        <v>117</v>
      </c>
    </row>
    <row r="3" spans="1:9" x14ac:dyDescent="0.3">
      <c r="A3" s="12"/>
      <c r="B3" s="12"/>
      <c r="C3" s="8"/>
      <c r="D3" s="2"/>
      <c r="E3" s="2"/>
      <c r="G3" s="8"/>
      <c r="H3" s="2"/>
      <c r="I3" s="2"/>
    </row>
    <row r="4" spans="1:9" x14ac:dyDescent="0.3">
      <c r="C4" s="5" t="s">
        <v>293</v>
      </c>
      <c r="D4" s="1">
        <v>1</v>
      </c>
      <c r="E4" s="1"/>
      <c r="G4" s="5" t="s">
        <v>95</v>
      </c>
      <c r="H4" s="1">
        <v>1</v>
      </c>
      <c r="I4" s="1"/>
    </row>
    <row r="5" spans="1:9" x14ac:dyDescent="0.3">
      <c r="C5" s="5" t="s">
        <v>93</v>
      </c>
      <c r="E5" s="1"/>
      <c r="G5" s="5" t="s">
        <v>96</v>
      </c>
      <c r="H5" s="1">
        <v>1</v>
      </c>
      <c r="I5" s="1"/>
    </row>
    <row r="6" spans="1:9" x14ac:dyDescent="0.3">
      <c r="C6" s="5" t="s">
        <v>290</v>
      </c>
      <c r="E6"/>
      <c r="G6" s="6"/>
      <c r="I6"/>
    </row>
    <row r="7" spans="1:9" x14ac:dyDescent="0.3">
      <c r="C7" s="5" t="s">
        <v>94</v>
      </c>
      <c r="E7"/>
      <c r="G7" s="5" t="s">
        <v>14</v>
      </c>
      <c r="I7" s="1" t="s">
        <v>115</v>
      </c>
    </row>
    <row r="8" spans="1:9" x14ac:dyDescent="0.3">
      <c r="C8" s="5" t="s">
        <v>103</v>
      </c>
      <c r="D8" s="1">
        <v>1</v>
      </c>
      <c r="E8"/>
      <c r="G8" s="5" t="s">
        <v>285</v>
      </c>
      <c r="I8" s="1" t="s">
        <v>115</v>
      </c>
    </row>
    <row r="9" spans="1:9" x14ac:dyDescent="0.3">
      <c r="C9" s="5" t="s">
        <v>27</v>
      </c>
      <c r="D9" s="1">
        <v>1</v>
      </c>
      <c r="E9" s="1" t="s">
        <v>115</v>
      </c>
      <c r="G9" s="5" t="s">
        <v>283</v>
      </c>
      <c r="H9" s="1">
        <v>1</v>
      </c>
      <c r="I9" s="1"/>
    </row>
    <row r="10" spans="1:9" x14ac:dyDescent="0.3">
      <c r="C10" s="5" t="s">
        <v>16</v>
      </c>
      <c r="E10" s="1" t="s">
        <v>115</v>
      </c>
      <c r="G10" s="6"/>
      <c r="I10"/>
    </row>
    <row r="11" spans="1:9" x14ac:dyDescent="0.3">
      <c r="C11" s="5" t="s">
        <v>36</v>
      </c>
      <c r="D11" s="1">
        <v>1</v>
      </c>
      <c r="E11" s="1" t="s">
        <v>115</v>
      </c>
      <c r="G11" s="5" t="s">
        <v>277</v>
      </c>
      <c r="I11" s="1" t="s">
        <v>115</v>
      </c>
    </row>
    <row r="12" spans="1:9" x14ac:dyDescent="0.3">
      <c r="C12" s="5" t="s">
        <v>18</v>
      </c>
      <c r="D12" s="1">
        <v>1</v>
      </c>
      <c r="E12" s="1" t="s">
        <v>115</v>
      </c>
      <c r="G12" s="5" t="s">
        <v>275</v>
      </c>
      <c r="I12" s="1" t="s">
        <v>115</v>
      </c>
    </row>
    <row r="13" spans="1:9" x14ac:dyDescent="0.3">
      <c r="C13" s="5" t="s">
        <v>17</v>
      </c>
      <c r="E13" s="1" t="s">
        <v>115</v>
      </c>
      <c r="G13" s="5" t="s">
        <v>273</v>
      </c>
      <c r="I13" s="1" t="s">
        <v>115</v>
      </c>
    </row>
    <row r="14" spans="1:9" x14ac:dyDescent="0.3">
      <c r="C14" s="7" t="s">
        <v>2</v>
      </c>
      <c r="E14" s="1" t="s">
        <v>115</v>
      </c>
      <c r="G14" s="5" t="s">
        <v>271</v>
      </c>
      <c r="I14" s="1" t="s">
        <v>115</v>
      </c>
    </row>
    <row r="15" spans="1:9" x14ac:dyDescent="0.3">
      <c r="C15" s="7" t="s">
        <v>0</v>
      </c>
      <c r="E15" s="1" t="s">
        <v>115</v>
      </c>
      <c r="G15" s="5" t="s">
        <v>270</v>
      </c>
      <c r="I15" s="1" t="s">
        <v>115</v>
      </c>
    </row>
    <row r="16" spans="1:9" x14ac:dyDescent="0.3">
      <c r="C16" s="7" t="s">
        <v>280</v>
      </c>
      <c r="E16"/>
      <c r="G16" s="5" t="s">
        <v>268</v>
      </c>
      <c r="H16" s="1">
        <v>1</v>
      </c>
      <c r="I16" s="1"/>
    </row>
    <row r="17" spans="3:9" x14ac:dyDescent="0.3">
      <c r="C17" s="5" t="s">
        <v>295</v>
      </c>
      <c r="E17" s="1" t="s">
        <v>115</v>
      </c>
      <c r="G17" s="5" t="s">
        <v>267</v>
      </c>
      <c r="I17" s="1" t="s">
        <v>115</v>
      </c>
    </row>
    <row r="18" spans="3:9" x14ac:dyDescent="0.3">
      <c r="C18" s="5" t="s">
        <v>278</v>
      </c>
      <c r="E18" s="1" t="s">
        <v>115</v>
      </c>
      <c r="G18" s="5" t="s">
        <v>266</v>
      </c>
      <c r="I18" s="1" t="s">
        <v>115</v>
      </c>
    </row>
    <row r="19" spans="3:9" x14ac:dyDescent="0.3">
      <c r="C19" s="5" t="s">
        <v>276</v>
      </c>
      <c r="E19" s="1" t="s">
        <v>115</v>
      </c>
      <c r="G19" s="5" t="s">
        <v>265</v>
      </c>
      <c r="I19" s="1" t="s">
        <v>115</v>
      </c>
    </row>
    <row r="20" spans="3:9" x14ac:dyDescent="0.3">
      <c r="C20" s="7" t="s">
        <v>274</v>
      </c>
      <c r="D20" s="1">
        <v>1</v>
      </c>
      <c r="E20" s="1" t="s">
        <v>115</v>
      </c>
      <c r="G20" s="5" t="s">
        <v>264</v>
      </c>
      <c r="I20" s="1"/>
    </row>
    <row r="21" spans="3:9" x14ac:dyDescent="0.3">
      <c r="C21" s="5" t="s">
        <v>272</v>
      </c>
      <c r="D21" s="1">
        <v>1</v>
      </c>
      <c r="E21" s="1"/>
      <c r="G21" s="5" t="s">
        <v>262</v>
      </c>
      <c r="I21"/>
    </row>
    <row r="22" spans="3:9" x14ac:dyDescent="0.3">
      <c r="G22" s="5" t="s">
        <v>97</v>
      </c>
      <c r="I22" s="1" t="s">
        <v>115</v>
      </c>
    </row>
    <row r="23" spans="3:9" x14ac:dyDescent="0.3">
      <c r="C23" s="5" t="s">
        <v>269</v>
      </c>
      <c r="E23" s="1"/>
      <c r="G23" s="5" t="s">
        <v>261</v>
      </c>
      <c r="H23" s="1">
        <v>1</v>
      </c>
      <c r="I23" s="1" t="s">
        <v>115</v>
      </c>
    </row>
    <row r="24" spans="3:9" x14ac:dyDescent="0.3">
      <c r="C24" s="7" t="s">
        <v>107</v>
      </c>
      <c r="E24" s="1"/>
      <c r="G24" s="5" t="s">
        <v>259</v>
      </c>
      <c r="H24" s="1">
        <v>1</v>
      </c>
      <c r="I24" s="1" t="s">
        <v>115</v>
      </c>
    </row>
    <row r="25" spans="3:9" x14ac:dyDescent="0.3">
      <c r="C25" s="7" t="s">
        <v>108</v>
      </c>
      <c r="E25"/>
    </row>
    <row r="26" spans="3:9" x14ac:dyDescent="0.3">
      <c r="C26" s="7" t="s">
        <v>109</v>
      </c>
      <c r="E26"/>
      <c r="G26" s="5" t="s">
        <v>258</v>
      </c>
      <c r="H26" s="1">
        <v>1</v>
      </c>
      <c r="I26" s="1"/>
    </row>
    <row r="27" spans="3:9" x14ac:dyDescent="0.3">
      <c r="C27" s="5" t="s">
        <v>121</v>
      </c>
      <c r="E27" s="1"/>
      <c r="G27" s="7" t="s">
        <v>256</v>
      </c>
      <c r="H27" s="1">
        <v>1</v>
      </c>
      <c r="I27" s="1"/>
    </row>
    <row r="28" spans="3:9" x14ac:dyDescent="0.3">
      <c r="C28" s="5" t="s">
        <v>263</v>
      </c>
      <c r="E28" s="1"/>
      <c r="G28" s="5" t="s">
        <v>118</v>
      </c>
    </row>
    <row r="29" spans="3:9" x14ac:dyDescent="0.3">
      <c r="C29" s="5" t="s">
        <v>122</v>
      </c>
      <c r="E29" s="1"/>
      <c r="G29" s="5" t="s">
        <v>119</v>
      </c>
    </row>
    <row r="30" spans="3:9" x14ac:dyDescent="0.3">
      <c r="C30" s="5" t="s">
        <v>260</v>
      </c>
      <c r="D30" s="1">
        <v>1</v>
      </c>
      <c r="E30" s="1"/>
      <c r="G30" s="5" t="s">
        <v>120</v>
      </c>
    </row>
    <row r="31" spans="3:9" x14ac:dyDescent="0.3">
      <c r="C31" s="7" t="s">
        <v>19</v>
      </c>
      <c r="E31" s="1" t="s">
        <v>115</v>
      </c>
    </row>
    <row r="32" spans="3:9" x14ac:dyDescent="0.3">
      <c r="C32" s="5" t="s">
        <v>15</v>
      </c>
      <c r="E32" s="1" t="s">
        <v>115</v>
      </c>
      <c r="G32" s="7" t="s">
        <v>292</v>
      </c>
      <c r="I32" s="4" t="s">
        <v>115</v>
      </c>
    </row>
    <row r="33" spans="3:11" x14ac:dyDescent="0.3">
      <c r="C33" s="5"/>
      <c r="E33" s="1"/>
      <c r="G33" s="7" t="s">
        <v>291</v>
      </c>
      <c r="I33" s="4" t="s">
        <v>115</v>
      </c>
    </row>
    <row r="34" spans="3:11" x14ac:dyDescent="0.3">
      <c r="C34" s="5" t="s">
        <v>257</v>
      </c>
      <c r="D34" s="1">
        <v>1</v>
      </c>
      <c r="E34" s="1" t="s">
        <v>115</v>
      </c>
      <c r="G34" s="7" t="s">
        <v>289</v>
      </c>
      <c r="I34" s="1" t="s">
        <v>115</v>
      </c>
      <c r="K34" s="1"/>
    </row>
    <row r="35" spans="3:11" x14ac:dyDescent="0.3">
      <c r="C35" s="5" t="s">
        <v>255</v>
      </c>
      <c r="E35" s="1" t="s">
        <v>115</v>
      </c>
      <c r="G35" s="5" t="s">
        <v>288</v>
      </c>
      <c r="I35" s="1" t="s">
        <v>115</v>
      </c>
      <c r="K35" s="4"/>
    </row>
    <row r="36" spans="3:11" x14ac:dyDescent="0.3">
      <c r="C36" s="5" t="s">
        <v>254</v>
      </c>
      <c r="D36" s="1">
        <v>1</v>
      </c>
      <c r="E36"/>
      <c r="G36" s="5" t="s">
        <v>287</v>
      </c>
      <c r="H36" s="1">
        <v>1</v>
      </c>
      <c r="I36" s="1" t="s">
        <v>115</v>
      </c>
      <c r="K36" s="4"/>
    </row>
    <row r="37" spans="3:11" x14ac:dyDescent="0.3">
      <c r="C37" s="7" t="s">
        <v>253</v>
      </c>
      <c r="E37" s="1" t="s">
        <v>115</v>
      </c>
      <c r="G37" s="5" t="s">
        <v>286</v>
      </c>
      <c r="I37" s="1" t="s">
        <v>115</v>
      </c>
      <c r="K37" s="4"/>
    </row>
    <row r="38" spans="3:11" x14ac:dyDescent="0.3">
      <c r="C38" s="5" t="s">
        <v>252</v>
      </c>
      <c r="D38" s="1">
        <v>1</v>
      </c>
      <c r="E38"/>
      <c r="G38" s="5" t="s">
        <v>284</v>
      </c>
      <c r="H38" s="1">
        <v>1</v>
      </c>
      <c r="I38" s="1" t="s">
        <v>115</v>
      </c>
      <c r="K38" s="4"/>
    </row>
    <row r="39" spans="3:11" x14ac:dyDescent="0.3">
      <c r="C39" s="5" t="s">
        <v>87</v>
      </c>
      <c r="E39"/>
      <c r="G39" s="5" t="s">
        <v>282</v>
      </c>
      <c r="H39" s="1">
        <v>1</v>
      </c>
      <c r="I39" s="1" t="s">
        <v>115</v>
      </c>
      <c r="K39" s="4"/>
    </row>
    <row r="40" spans="3:11" x14ac:dyDescent="0.3">
      <c r="C40" s="5" t="s">
        <v>251</v>
      </c>
      <c r="E40" s="1"/>
      <c r="G40" s="5" t="s">
        <v>281</v>
      </c>
      <c r="I40" s="1" t="s">
        <v>115</v>
      </c>
      <c r="K40" s="4"/>
    </row>
    <row r="41" spans="3:11" x14ac:dyDescent="0.3">
      <c r="C41" s="5" t="s">
        <v>250</v>
      </c>
      <c r="E41"/>
      <c r="F41" s="27"/>
      <c r="G41" s="7" t="s">
        <v>279</v>
      </c>
      <c r="I41" s="1" t="s">
        <v>115</v>
      </c>
      <c r="K41" s="4"/>
    </row>
    <row r="42" spans="3:11" x14ac:dyDescent="0.3">
      <c r="C42" s="5" t="s">
        <v>249</v>
      </c>
      <c r="E42" s="1" t="s">
        <v>115</v>
      </c>
      <c r="F42" s="27"/>
      <c r="G42" s="7" t="s">
        <v>294</v>
      </c>
      <c r="I42" s="1" t="s">
        <v>115</v>
      </c>
      <c r="K42" s="4"/>
    </row>
    <row r="43" spans="3:11" x14ac:dyDescent="0.3">
      <c r="C43" s="7" t="s">
        <v>26</v>
      </c>
      <c r="E43" s="1" t="s">
        <v>115</v>
      </c>
    </row>
    <row r="44" spans="3:11" x14ac:dyDescent="0.3">
      <c r="C44" s="7" t="s">
        <v>86</v>
      </c>
      <c r="D44" s="1">
        <v>1</v>
      </c>
      <c r="E44" s="1" t="s">
        <v>115</v>
      </c>
      <c r="G44" s="5" t="s">
        <v>123</v>
      </c>
      <c r="H44" s="1">
        <v>2</v>
      </c>
      <c r="I44"/>
    </row>
    <row r="45" spans="3:11" x14ac:dyDescent="0.3">
      <c r="C45" s="5" t="s">
        <v>248</v>
      </c>
      <c r="E45" s="1" t="s">
        <v>115</v>
      </c>
      <c r="G45" s="5" t="s">
        <v>124</v>
      </c>
      <c r="H45" s="1">
        <v>1</v>
      </c>
      <c r="I45"/>
    </row>
    <row r="46" spans="3:11" x14ac:dyDescent="0.3">
      <c r="C46" s="5" t="s">
        <v>247</v>
      </c>
      <c r="E46"/>
      <c r="G46" s="7" t="s">
        <v>125</v>
      </c>
      <c r="H46" s="1">
        <v>2</v>
      </c>
      <c r="I46"/>
    </row>
    <row r="47" spans="3:11" x14ac:dyDescent="0.3">
      <c r="C47" s="7" t="s">
        <v>246</v>
      </c>
      <c r="E47"/>
      <c r="G47" s="7" t="s">
        <v>126</v>
      </c>
      <c r="H47" s="1">
        <v>1</v>
      </c>
    </row>
    <row r="48" spans="3:11" x14ac:dyDescent="0.3">
      <c r="C48" s="5" t="s">
        <v>245</v>
      </c>
      <c r="E48"/>
    </row>
    <row r="49" spans="3:9" x14ac:dyDescent="0.3">
      <c r="C49" s="5" t="s">
        <v>244</v>
      </c>
      <c r="E49"/>
    </row>
    <row r="51" spans="3:9" x14ac:dyDescent="0.3">
      <c r="C51" s="5"/>
      <c r="E51"/>
    </row>
    <row r="52" spans="3:9" x14ac:dyDescent="0.3">
      <c r="C52" s="5"/>
      <c r="E52"/>
      <c r="I52" s="7"/>
    </row>
    <row r="53" spans="3:9" ht="15.6" x14ac:dyDescent="0.3">
      <c r="C53" s="33" t="s">
        <v>131</v>
      </c>
      <c r="D53" s="19" t="s">
        <v>38</v>
      </c>
      <c r="E53"/>
      <c r="I53" s="5"/>
    </row>
    <row r="54" spans="3:9" x14ac:dyDescent="0.3">
      <c r="C54" s="9" t="s">
        <v>38</v>
      </c>
      <c r="D54" s="48">
        <f>COUNTA(C4:C49,G4:G42)</f>
        <v>79</v>
      </c>
      <c r="E54" s="27"/>
      <c r="I54" s="5"/>
    </row>
    <row r="55" spans="3:9" x14ac:dyDescent="0.3">
      <c r="C55" s="28" t="s">
        <v>111</v>
      </c>
      <c r="D55" s="49">
        <f>SUM(D4:D49,H4:H42)</f>
        <v>23</v>
      </c>
      <c r="E55" s="27"/>
      <c r="G55"/>
      <c r="I55"/>
    </row>
    <row r="56" spans="3:9" x14ac:dyDescent="0.3">
      <c r="C56" s="28" t="s">
        <v>296</v>
      </c>
      <c r="D56" s="49">
        <f>SUM(H44:H47)</f>
        <v>6</v>
      </c>
      <c r="E56" s="27"/>
      <c r="G56"/>
      <c r="I56"/>
    </row>
    <row r="57" spans="3:9" x14ac:dyDescent="0.3">
      <c r="C57" s="32" t="s">
        <v>128</v>
      </c>
      <c r="D57" s="31">
        <f>SUM(D54:D56)</f>
        <v>108</v>
      </c>
    </row>
    <row r="58" spans="3:9" x14ac:dyDescent="0.3">
      <c r="D58" s="4"/>
    </row>
    <row r="59" spans="3:9" x14ac:dyDescent="0.3">
      <c r="D59" s="4"/>
    </row>
    <row r="60" spans="3:9" ht="15.6" x14ac:dyDescent="0.3">
      <c r="C60" s="35" t="s">
        <v>116</v>
      </c>
      <c r="D60" s="36"/>
    </row>
    <row r="61" spans="3:9" x14ac:dyDescent="0.3">
      <c r="C61" s="20" t="s">
        <v>130</v>
      </c>
      <c r="D61" s="40">
        <f>COUNTA(E4:E49,I4:I42)</f>
        <v>44</v>
      </c>
    </row>
    <row r="62" spans="3:9" x14ac:dyDescent="0.3">
      <c r="C62" s="22" t="s">
        <v>111</v>
      </c>
      <c r="D62" s="45">
        <f>SUM(SUMIF(E4:E49,"Y",D4:D49),SUMIF(I4:I42,"Y",H4:H42))</f>
        <v>11</v>
      </c>
    </row>
    <row r="63" spans="3:9" x14ac:dyDescent="0.3">
      <c r="C63" s="29" t="s">
        <v>38</v>
      </c>
      <c r="D63" s="30">
        <f>SUM(D61:D62)</f>
        <v>55</v>
      </c>
    </row>
    <row r="64" spans="3:9" x14ac:dyDescent="0.3">
      <c r="D64" s="1">
        <f>D63+13</f>
        <v>68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D463-DF56-4860-9710-2B869EAE59A8}">
  <dimension ref="B2:C74"/>
  <sheetViews>
    <sheetView showGridLines="0" topLeftCell="A65" workbookViewId="0">
      <selection activeCell="B74" sqref="B74"/>
    </sheetView>
  </sheetViews>
  <sheetFormatPr defaultRowHeight="14.4" x14ac:dyDescent="0.3"/>
  <cols>
    <col min="1" max="1" width="5.6640625" customWidth="1"/>
    <col min="2" max="2" width="8.88671875" style="27"/>
  </cols>
  <sheetData>
    <row r="2" spans="2:3" ht="15.6" x14ac:dyDescent="0.3">
      <c r="B2" s="27">
        <v>2</v>
      </c>
      <c r="C2" s="37" t="s">
        <v>133</v>
      </c>
    </row>
    <row r="3" spans="2:3" ht="15.6" x14ac:dyDescent="0.3">
      <c r="B3" s="27">
        <v>2</v>
      </c>
      <c r="C3" s="37" t="s">
        <v>134</v>
      </c>
    </row>
    <row r="4" spans="2:3" ht="15.6" x14ac:dyDescent="0.3">
      <c r="B4" s="27">
        <v>2</v>
      </c>
      <c r="C4" s="37" t="s">
        <v>135</v>
      </c>
    </row>
    <row r="5" spans="2:3" ht="15.6" x14ac:dyDescent="0.3">
      <c r="B5" s="27">
        <v>2</v>
      </c>
      <c r="C5" s="37" t="s">
        <v>136</v>
      </c>
    </row>
    <row r="6" spans="2:3" ht="15.6" x14ac:dyDescent="0.3">
      <c r="B6" s="27">
        <v>2</v>
      </c>
      <c r="C6" s="37" t="s">
        <v>137</v>
      </c>
    </row>
    <row r="7" spans="2:3" ht="15.6" x14ac:dyDescent="0.3">
      <c r="B7" s="27">
        <v>2</v>
      </c>
      <c r="C7" s="37" t="s">
        <v>138</v>
      </c>
    </row>
    <row r="8" spans="2:3" ht="15.6" x14ac:dyDescent="0.3">
      <c r="B8" s="27">
        <v>2</v>
      </c>
      <c r="C8" s="37" t="s">
        <v>139</v>
      </c>
    </row>
    <row r="9" spans="2:3" ht="15.6" x14ac:dyDescent="0.3">
      <c r="B9" s="27">
        <v>2</v>
      </c>
      <c r="C9" s="37" t="s">
        <v>140</v>
      </c>
    </row>
    <row r="10" spans="2:3" ht="15.6" x14ac:dyDescent="0.3">
      <c r="B10" s="27">
        <v>2</v>
      </c>
      <c r="C10" s="37" t="s">
        <v>141</v>
      </c>
    </row>
    <row r="11" spans="2:3" ht="15.6" x14ac:dyDescent="0.3">
      <c r="B11" s="27">
        <v>2</v>
      </c>
      <c r="C11" s="37" t="s">
        <v>142</v>
      </c>
    </row>
    <row r="12" spans="2:3" ht="15.6" x14ac:dyDescent="0.3">
      <c r="B12" s="27">
        <v>2</v>
      </c>
      <c r="C12" s="37" t="s">
        <v>143</v>
      </c>
    </row>
    <row r="13" spans="2:3" ht="15.6" x14ac:dyDescent="0.3">
      <c r="B13" s="27">
        <v>2</v>
      </c>
      <c r="C13" s="37" t="s">
        <v>144</v>
      </c>
    </row>
    <row r="14" spans="2:3" ht="15.6" x14ac:dyDescent="0.3">
      <c r="B14" s="27">
        <v>2</v>
      </c>
      <c r="C14" s="37" t="s">
        <v>145</v>
      </c>
    </row>
    <row r="15" spans="2:3" ht="15.6" x14ac:dyDescent="0.3">
      <c r="B15" s="27">
        <v>2</v>
      </c>
      <c r="C15" s="37" t="s">
        <v>203</v>
      </c>
    </row>
    <row r="16" spans="2:3" ht="15.6" x14ac:dyDescent="0.3">
      <c r="B16" s="27">
        <v>2</v>
      </c>
      <c r="C16" s="37" t="s">
        <v>204</v>
      </c>
    </row>
    <row r="17" spans="2:3" ht="15.6" x14ac:dyDescent="0.3">
      <c r="B17" s="27">
        <v>2</v>
      </c>
      <c r="C17" s="37" t="s">
        <v>146</v>
      </c>
    </row>
    <row r="18" spans="2:3" ht="15.6" x14ac:dyDescent="0.3">
      <c r="B18" s="27">
        <v>2</v>
      </c>
      <c r="C18" s="37" t="s">
        <v>147</v>
      </c>
    </row>
    <row r="19" spans="2:3" ht="15.6" x14ac:dyDescent="0.3">
      <c r="B19" s="27">
        <v>2</v>
      </c>
      <c r="C19" s="37" t="s">
        <v>148</v>
      </c>
    </row>
    <row r="20" spans="2:3" ht="15.6" x14ac:dyDescent="0.3">
      <c r="B20" s="27">
        <v>2</v>
      </c>
      <c r="C20" s="37" t="s">
        <v>149</v>
      </c>
    </row>
    <row r="21" spans="2:3" ht="15.6" x14ac:dyDescent="0.3">
      <c r="B21" s="27">
        <v>2</v>
      </c>
      <c r="C21" s="37" t="s">
        <v>150</v>
      </c>
    </row>
    <row r="22" spans="2:3" ht="15.6" x14ac:dyDescent="0.3">
      <c r="B22" s="27">
        <v>2</v>
      </c>
      <c r="C22" s="37" t="s">
        <v>151</v>
      </c>
    </row>
    <row r="23" spans="2:3" ht="15.6" x14ac:dyDescent="0.3">
      <c r="B23" s="27">
        <v>2</v>
      </c>
      <c r="C23" s="37" t="s">
        <v>152</v>
      </c>
    </row>
    <row r="24" spans="2:3" ht="15.6" x14ac:dyDescent="0.3">
      <c r="B24" s="27">
        <v>2</v>
      </c>
      <c r="C24" s="37" t="s">
        <v>153</v>
      </c>
    </row>
    <row r="25" spans="2:3" ht="15.6" x14ac:dyDescent="0.3">
      <c r="B25" s="27">
        <v>2</v>
      </c>
      <c r="C25" s="37" t="s">
        <v>154</v>
      </c>
    </row>
    <row r="26" spans="2:3" ht="15.6" x14ac:dyDescent="0.3">
      <c r="B26" s="27">
        <v>2</v>
      </c>
      <c r="C26" s="37" t="s">
        <v>155</v>
      </c>
    </row>
    <row r="27" spans="2:3" ht="15.6" x14ac:dyDescent="0.3">
      <c r="B27" s="27">
        <v>2</v>
      </c>
      <c r="C27" s="37" t="s">
        <v>156</v>
      </c>
    </row>
    <row r="28" spans="2:3" ht="15.6" x14ac:dyDescent="0.3">
      <c r="B28" s="27">
        <v>1</v>
      </c>
      <c r="C28" s="37" t="s">
        <v>157</v>
      </c>
    </row>
    <row r="29" spans="2:3" ht="15.6" x14ac:dyDescent="0.3">
      <c r="B29" s="27">
        <v>2</v>
      </c>
      <c r="C29" s="37" t="s">
        <v>158</v>
      </c>
    </row>
    <row r="30" spans="2:3" ht="15.6" x14ac:dyDescent="0.3">
      <c r="B30" s="27">
        <v>2</v>
      </c>
      <c r="C30" s="37" t="s">
        <v>159</v>
      </c>
    </row>
    <row r="31" spans="2:3" ht="15.6" x14ac:dyDescent="0.3">
      <c r="B31" s="27">
        <v>2</v>
      </c>
      <c r="C31" s="37" t="s">
        <v>160</v>
      </c>
    </row>
    <row r="32" spans="2:3" ht="15.6" x14ac:dyDescent="0.3">
      <c r="B32" s="27">
        <v>2</v>
      </c>
      <c r="C32" s="37" t="s">
        <v>161</v>
      </c>
    </row>
    <row r="33" spans="2:3" ht="15.6" x14ac:dyDescent="0.3">
      <c r="B33" s="27">
        <v>2</v>
      </c>
      <c r="C33" s="37" t="s">
        <v>162</v>
      </c>
    </row>
    <row r="34" spans="2:3" ht="15.6" x14ac:dyDescent="0.3">
      <c r="B34" s="27">
        <v>2</v>
      </c>
      <c r="C34" s="37" t="s">
        <v>163</v>
      </c>
    </row>
    <row r="35" spans="2:3" ht="15.6" x14ac:dyDescent="0.3">
      <c r="B35" s="27">
        <v>2</v>
      </c>
      <c r="C35" s="37" t="s">
        <v>164</v>
      </c>
    </row>
    <row r="36" spans="2:3" ht="15.6" x14ac:dyDescent="0.3">
      <c r="B36" s="27">
        <v>2</v>
      </c>
      <c r="C36" s="37" t="s">
        <v>165</v>
      </c>
    </row>
    <row r="37" spans="2:3" ht="15.6" x14ac:dyDescent="0.3">
      <c r="B37" s="27">
        <v>2</v>
      </c>
      <c r="C37" s="37" t="s">
        <v>166</v>
      </c>
    </row>
    <row r="38" spans="2:3" ht="15.6" x14ac:dyDescent="0.3">
      <c r="B38" s="27">
        <v>2</v>
      </c>
      <c r="C38" s="37" t="s">
        <v>167</v>
      </c>
    </row>
    <row r="39" spans="2:3" ht="15.6" x14ac:dyDescent="0.3">
      <c r="B39" s="27">
        <v>2</v>
      </c>
      <c r="C39" s="37" t="s">
        <v>168</v>
      </c>
    </row>
    <row r="40" spans="2:3" ht="15.6" x14ac:dyDescent="0.3">
      <c r="B40" s="27">
        <v>1</v>
      </c>
      <c r="C40" s="37" t="s">
        <v>169</v>
      </c>
    </row>
    <row r="41" spans="2:3" ht="15.6" x14ac:dyDescent="0.3">
      <c r="B41" s="27">
        <v>2</v>
      </c>
      <c r="C41" s="37" t="s">
        <v>170</v>
      </c>
    </row>
    <row r="42" spans="2:3" ht="15.6" x14ac:dyDescent="0.3">
      <c r="B42" s="27">
        <v>2</v>
      </c>
      <c r="C42" s="37" t="s">
        <v>171</v>
      </c>
    </row>
    <row r="43" spans="2:3" ht="15.6" x14ac:dyDescent="0.3">
      <c r="B43" s="27">
        <v>2</v>
      </c>
      <c r="C43" s="37" t="s">
        <v>172</v>
      </c>
    </row>
    <row r="44" spans="2:3" ht="15.6" x14ac:dyDescent="0.3">
      <c r="B44" s="27">
        <v>2</v>
      </c>
      <c r="C44" s="37" t="s">
        <v>173</v>
      </c>
    </row>
    <row r="45" spans="2:3" ht="15.6" x14ac:dyDescent="0.3">
      <c r="B45" s="27">
        <v>2</v>
      </c>
      <c r="C45" s="37" t="s">
        <v>174</v>
      </c>
    </row>
    <row r="46" spans="2:3" ht="15.6" x14ac:dyDescent="0.3">
      <c r="B46" s="27">
        <v>2</v>
      </c>
      <c r="C46" s="37" t="s">
        <v>175</v>
      </c>
    </row>
    <row r="47" spans="2:3" ht="15.6" x14ac:dyDescent="0.3">
      <c r="B47" s="27">
        <v>2</v>
      </c>
      <c r="C47" s="37" t="s">
        <v>176</v>
      </c>
    </row>
    <row r="48" spans="2:3" ht="15.6" x14ac:dyDescent="0.3">
      <c r="B48" s="27">
        <v>2</v>
      </c>
      <c r="C48" s="37" t="s">
        <v>177</v>
      </c>
    </row>
    <row r="49" spans="2:3" ht="15.6" x14ac:dyDescent="0.3">
      <c r="B49" s="27">
        <v>2</v>
      </c>
      <c r="C49" s="37" t="s">
        <v>178</v>
      </c>
    </row>
    <row r="50" spans="2:3" ht="15.6" x14ac:dyDescent="0.3">
      <c r="B50" s="27">
        <v>2</v>
      </c>
      <c r="C50" s="37" t="s">
        <v>179</v>
      </c>
    </row>
    <row r="51" spans="2:3" ht="15.6" x14ac:dyDescent="0.3">
      <c r="B51" s="27">
        <v>2</v>
      </c>
      <c r="C51" s="37" t="s">
        <v>180</v>
      </c>
    </row>
    <row r="52" spans="2:3" ht="15.6" x14ac:dyDescent="0.3">
      <c r="B52" s="27">
        <v>2</v>
      </c>
      <c r="C52" s="37" t="s">
        <v>181</v>
      </c>
    </row>
    <row r="53" spans="2:3" ht="15.6" x14ac:dyDescent="0.3">
      <c r="B53" s="27">
        <v>1</v>
      </c>
      <c r="C53" s="37" t="s">
        <v>182</v>
      </c>
    </row>
    <row r="54" spans="2:3" ht="15.6" x14ac:dyDescent="0.3">
      <c r="B54" s="27">
        <v>2</v>
      </c>
      <c r="C54" s="37" t="s">
        <v>183</v>
      </c>
    </row>
    <row r="55" spans="2:3" ht="15.6" x14ac:dyDescent="0.3">
      <c r="B55" s="27">
        <v>1</v>
      </c>
      <c r="C55" s="37" t="s">
        <v>184</v>
      </c>
    </row>
    <row r="56" spans="2:3" ht="15.6" x14ac:dyDescent="0.3">
      <c r="B56" s="27">
        <v>1</v>
      </c>
      <c r="C56" s="37" t="s">
        <v>185</v>
      </c>
    </row>
    <row r="57" spans="2:3" ht="15.6" x14ac:dyDescent="0.3">
      <c r="B57" s="27">
        <v>2</v>
      </c>
      <c r="C57" s="37" t="s">
        <v>186</v>
      </c>
    </row>
    <row r="58" spans="2:3" ht="15.6" x14ac:dyDescent="0.3">
      <c r="B58" s="27">
        <v>2</v>
      </c>
      <c r="C58" s="37" t="s">
        <v>187</v>
      </c>
    </row>
    <row r="59" spans="2:3" ht="15.6" x14ac:dyDescent="0.3">
      <c r="B59" s="27">
        <v>1</v>
      </c>
      <c r="C59" s="37" t="s">
        <v>188</v>
      </c>
    </row>
    <row r="60" spans="2:3" ht="15.6" x14ac:dyDescent="0.3">
      <c r="B60" s="27">
        <v>1</v>
      </c>
      <c r="C60" s="37" t="s">
        <v>189</v>
      </c>
    </row>
    <row r="61" spans="2:3" ht="15.6" x14ac:dyDescent="0.3">
      <c r="B61" s="27">
        <v>1</v>
      </c>
      <c r="C61" s="37" t="s">
        <v>190</v>
      </c>
    </row>
    <row r="62" spans="2:3" ht="15.6" x14ac:dyDescent="0.3">
      <c r="B62" s="27">
        <v>2</v>
      </c>
      <c r="C62" s="37" t="s">
        <v>191</v>
      </c>
    </row>
    <row r="63" spans="2:3" ht="15.6" x14ac:dyDescent="0.3">
      <c r="B63" s="27">
        <v>2</v>
      </c>
      <c r="C63" s="37" t="s">
        <v>192</v>
      </c>
    </row>
    <row r="64" spans="2:3" ht="15.6" x14ac:dyDescent="0.3">
      <c r="B64" s="27">
        <v>2</v>
      </c>
      <c r="C64" s="37" t="s">
        <v>193</v>
      </c>
    </row>
    <row r="65" spans="2:3" ht="15.6" x14ac:dyDescent="0.3">
      <c r="B65" s="27">
        <v>2</v>
      </c>
      <c r="C65" s="37" t="s">
        <v>194</v>
      </c>
    </row>
    <row r="66" spans="2:3" ht="15.6" x14ac:dyDescent="0.3">
      <c r="B66" s="27">
        <v>2</v>
      </c>
      <c r="C66" s="37" t="s">
        <v>195</v>
      </c>
    </row>
    <row r="67" spans="2:3" ht="15.6" x14ac:dyDescent="0.3">
      <c r="B67" s="27">
        <v>1</v>
      </c>
      <c r="C67" s="37" t="s">
        <v>196</v>
      </c>
    </row>
    <row r="68" spans="2:3" ht="15.6" x14ac:dyDescent="0.3">
      <c r="B68" s="27">
        <v>2</v>
      </c>
      <c r="C68" s="37" t="s">
        <v>197</v>
      </c>
    </row>
    <row r="69" spans="2:3" ht="15.6" x14ac:dyDescent="0.3">
      <c r="B69" s="27">
        <v>2</v>
      </c>
      <c r="C69" s="37" t="s">
        <v>198</v>
      </c>
    </row>
    <row r="70" spans="2:3" ht="15.6" x14ac:dyDescent="0.3">
      <c r="B70" s="27">
        <v>1</v>
      </c>
      <c r="C70" s="37" t="s">
        <v>199</v>
      </c>
    </row>
    <row r="71" spans="2:3" ht="15.6" x14ac:dyDescent="0.3">
      <c r="B71" s="27">
        <v>2</v>
      </c>
      <c r="C71" s="37" t="s">
        <v>200</v>
      </c>
    </row>
    <row r="72" spans="2:3" ht="15.6" x14ac:dyDescent="0.3">
      <c r="B72" s="27">
        <v>2</v>
      </c>
      <c r="C72" s="37" t="s">
        <v>201</v>
      </c>
    </row>
    <row r="73" spans="2:3" ht="15.6" x14ac:dyDescent="0.3">
      <c r="B73" s="27">
        <v>2</v>
      </c>
      <c r="C73" s="37" t="s">
        <v>202</v>
      </c>
    </row>
    <row r="74" spans="2:3" ht="15.6" x14ac:dyDescent="0.3">
      <c r="B74" s="27">
        <f>SUM(B2:B73)</f>
        <v>134</v>
      </c>
      <c r="C74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Corine</vt:lpstr>
      <vt:lpstr>Isaac</vt:lpstr>
      <vt:lpstr>Parents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Corine</dc:creator>
  <cp:lastModifiedBy>Corine Freiha</cp:lastModifiedBy>
  <dcterms:created xsi:type="dcterms:W3CDTF">2025-03-31T10:00:13Z</dcterms:created>
  <dcterms:modified xsi:type="dcterms:W3CDTF">2026-02-19T07:02:25Z</dcterms:modified>
</cp:coreProperties>
</file>